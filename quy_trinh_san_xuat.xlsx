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yPC\Documents\"/>
    </mc:Choice>
  </mc:AlternateContent>
  <xr:revisionPtr revIDLastSave="0" documentId="13_ncr:1_{E5A9EC1F-A7A1-46A4-9DE1-615CB9FFB6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TSX" sheetId="2" r:id="rId1"/>
    <sheet name="Công thức hao hụt NVL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5" l="1"/>
  <c r="D31" i="5"/>
  <c r="C32" i="5" s="1"/>
  <c r="C33" i="5" s="1"/>
  <c r="C23" i="5"/>
  <c r="C9" i="5"/>
  <c r="C10" i="5" s="1"/>
</calcChain>
</file>

<file path=xl/sharedStrings.xml><?xml version="1.0" encoding="utf-8"?>
<sst xmlns="http://schemas.openxmlformats.org/spreadsheetml/2006/main" count="106" uniqueCount="83">
  <si>
    <t>QUY TRÌNH SẢN XUẤT</t>
  </si>
  <si>
    <t>Lưu ý: Nếu thông tin còn thiếu, bộ phận bổ sung thêm</t>
  </si>
  <si>
    <t>STT</t>
  </si>
  <si>
    <t>Mã số quy trình</t>
  </si>
  <si>
    <t>Mô tả</t>
  </si>
  <si>
    <t>Trình tự xử lý</t>
  </si>
  <si>
    <t>Công đoạn</t>
  </si>
  <si>
    <t>Tên công đoạn</t>
  </si>
  <si>
    <t>Có nhập kho công đoạn</t>
  </si>
  <si>
    <t xml:space="preserve">QC kết quả </t>
  </si>
  <si>
    <t>QTSX_01</t>
  </si>
  <si>
    <t>Quy trình tạo hình</t>
  </si>
  <si>
    <t>CUT</t>
  </si>
  <si>
    <t>Cắt</t>
  </si>
  <si>
    <t>Có</t>
  </si>
  <si>
    <t>Không</t>
  </si>
  <si>
    <t>BD</t>
  </si>
  <si>
    <t>Chấn, uốn</t>
  </si>
  <si>
    <t>QTSX_02</t>
  </si>
  <si>
    <t>Quy trình hàn, mài, phay tiện</t>
  </si>
  <si>
    <t>WD</t>
  </si>
  <si>
    <t>Hàn+Mài</t>
  </si>
  <si>
    <t>MC</t>
  </si>
  <si>
    <t>Phay, tiện</t>
  </si>
  <si>
    <t>QTSX_03</t>
  </si>
  <si>
    <t>Quy trình lắp ráp</t>
  </si>
  <si>
    <t>AS</t>
  </si>
  <si>
    <t>Lắp ráp</t>
  </si>
  <si>
    <t>QTSX_04</t>
  </si>
  <si>
    <t>Quy trình sơn</t>
  </si>
  <si>
    <t>PNT</t>
  </si>
  <si>
    <t>QTSX_05</t>
  </si>
  <si>
    <t>Quy trình đóng gói</t>
  </si>
  <si>
    <t>PK</t>
  </si>
  <si>
    <t>Vệ sinh, Đóng gói</t>
  </si>
  <si>
    <t>Mã bán TP:  nên gom lại nếu bản chất chi tiết không thay đổi </t>
  </si>
  <si>
    <t>Cắt, chấn/uốn: cùng 1 mã (cùng 1 QTSX) </t>
  </si>
  <si>
    <t>Hàn/mài, phay/tiện: cùng 1 mã  </t>
  </si>
  <si>
    <t>Sơn, mạ</t>
  </si>
  <si>
    <t>Sơn: 1 mã </t>
  </si>
  <si>
    <t>Đóng gói: 1 mã</t>
  </si>
  <si>
    <t>Còn có cđ lắp ráp =&gt; lắp ráp các chi tiết bản lề lại</t>
  </si>
  <si>
    <t>cắt-&gt; hàn mài-&gt; lắp ráp đinh vít-&gt; sơn (tự làm)</t>
  </si>
  <si>
    <t>có trường hợp cắt-&gt; hàn mài-&gt; sơn (gia công)-&gt; lắp ráp</t>
  </si>
  <si>
    <t>Sơn</t>
  </si>
  <si>
    <t>Quy trình cắt</t>
  </si>
  <si>
    <t>QTSX_06</t>
  </si>
  <si>
    <t>Hàn mài</t>
  </si>
  <si>
    <t>Quy trình Hàn mài</t>
  </si>
  <si>
    <t>QTSX_07</t>
  </si>
  <si>
    <t>Quy trình phay tiện</t>
  </si>
  <si>
    <t>QTSX_08</t>
  </si>
  <si>
    <t>Quy trình dập tạo hình</t>
  </si>
  <si>
    <t>FM</t>
  </si>
  <si>
    <t>Dập tạo hình</t>
  </si>
  <si>
    <t>QTSX_09</t>
  </si>
  <si>
    <t>QTSX_10</t>
  </si>
  <si>
    <t>Quy trình mạ</t>
  </si>
  <si>
    <t>PL</t>
  </si>
  <si>
    <t>Mạ</t>
  </si>
  <si>
    <t>CÔNG THỨC TÍNH % HAO HỤT &amp; KHỐI LƯỢNG VẬT TƯ (NVL) CẦN DÙNG</t>
  </si>
  <si>
    <t>1. Công thức tính % hao hụt</t>
  </si>
  <si>
    <t>% hao hụt = ((Khối lượng NVL đầu vào − Khối lượng thành phẩm đầu ra) / Khối lượng thành phẩm đầu ra) × 100</t>
  </si>
  <si>
    <t>Ví dụ minh họa:</t>
  </si>
  <si>
    <t>Khối lượng NVL đầu vào (kg)</t>
  </si>
  <si>
    <t>Khối lượng thành phẩm đầu ra (kg)</t>
  </si>
  <si>
    <t>% hao hụt</t>
  </si>
  <si>
    <t>2. Công thức tính khối lượng vật tư (NVL) cần dùng</t>
  </si>
  <si>
    <t>a) Chỉ có 1 công đoạn có % hao hụt:</t>
  </si>
  <si>
    <t>Khối lượng NVL cần = Khối lượng SP đầu ra × (1 + % hao hụt) × Số lượng cần sản xuất</t>
  </si>
  <si>
    <t>b) Có từ 2 công đoạn có % hao hụt trở lên (tính hồi quy từ công đoạn cuối lên công đoạn đầu):</t>
  </si>
  <si>
    <t>Khối lượng sản phẩm đầu ra / 1 SP (kg)</t>
  </si>
  <si>
    <t>% hao hụt công đoạn</t>
  </si>
  <si>
    <t>Số lượng cần sản xuất (cái)</t>
  </si>
  <si>
    <t>Khối lượng NVL cần dùng (kg)</t>
  </si>
  <si>
    <t>Khối lượng thành phẩm cuối cùng / 1 SP (kg)</t>
  </si>
  <si>
    <t>Hệ số (1 + % hao hụt)</t>
  </si>
  <si>
    <t>Phay tiện (công đoạn cuối)</t>
  </si>
  <si>
    <t>Cắt (công đoạn đầu)</t>
  </si>
  <si>
    <t>Tích các hệ số (nhân dồn tất cả công đoạn)</t>
  </si>
  <si>
    <t>Khối lượng NVL cần = Khối lượng SP đầu ra × (1 + % hao hụt1) × ... × (1 + % hao hụtn)</t>
  </si>
  <si>
    <t xml:space="preserve">4. Nhiều công đoạn có hao hụt </t>
  </si>
  <si>
    <t>3. Chỉ 1 công đoạn có hao hụt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</si>
</sst>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0.000"/>
    <numFmt numFmtId="167" formatCode="0.00\%"/>
    <numFmt numFmtId="168" formatCode="0.0000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1"/>
      <color theme="0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b/>
      <sz val="11"/>
      <color theme="0"/>
      <name val="Times New Roman"/>
      <family val="1"/>
      <charset val="163"/>
    </font>
    <font>
      <sz val="12"/>
      <name val="Times New Roman"/>
      <family val="1"/>
      <charset val="163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i/>
      <sz val="11"/>
      <color rgb="FFFF0000"/>
      <name val="Times New Roman"/>
      <family val="1"/>
      <charset val="163"/>
    </font>
    <font>
      <sz val="11"/>
      <color theme="1"/>
      <name val="Calibri"/>
      <family val="2"/>
      <charset val="1"/>
    </font>
    <font>
      <b/>
      <sz val="14"/>
      <color rgb="FFFFFFFF"/>
      <name val="Calibri"/>
      <family val="2"/>
      <charset val="163"/>
      <scheme val="minor"/>
    </font>
    <font>
      <b/>
      <sz val="12"/>
      <color theme="0"/>
      <name val="Calibri"/>
      <family val="2"/>
      <charset val="163"/>
      <scheme val="minor"/>
    </font>
    <font>
      <sz val="10"/>
      <name val="Calibri"/>
      <family val="2"/>
      <charset val="163"/>
      <scheme val="minor"/>
    </font>
    <font>
      <b/>
      <sz val="10"/>
      <name val="Calibri"/>
      <family val="2"/>
      <charset val="163"/>
      <scheme val="minor"/>
    </font>
    <font>
      <sz val="10"/>
      <color rgb="FF0000FF"/>
      <name val="Calibri"/>
      <family val="2"/>
      <charset val="163"/>
      <scheme val="minor"/>
    </font>
    <font>
      <b/>
      <sz val="10"/>
      <color rgb="FF000000"/>
      <name val="Calibri"/>
      <family val="2"/>
      <charset val="163"/>
      <scheme val="minor"/>
    </font>
    <font>
      <b/>
      <sz val="11"/>
      <color rgb="FFFFFFFF"/>
      <name val="Calibri"/>
      <family val="2"/>
      <charset val="163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002060"/>
        <bgColor rgb="FF0066CC"/>
      </patternFill>
    </fill>
    <fill>
      <patternFill patternType="solid">
        <fgColor rgb="FF002060"/>
        <bgColor rgb="FFE2EFDA"/>
      </patternFill>
    </fill>
    <fill>
      <patternFill patternType="solid">
        <fgColor rgb="FF0070C0"/>
        <bgColor rgb="FF003366"/>
      </patternFill>
    </fill>
    <fill>
      <patternFill patternType="solid">
        <fgColor theme="0"/>
        <b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4">
    <xf numFmtId="0" fontId="0" fillId="0" borderId="0">
      <alignment vertical="center"/>
    </xf>
    <xf numFmtId="0" fontId="10" fillId="0" borderId="0"/>
    <xf numFmtId="0" fontId="9" fillId="0" borderId="0"/>
    <xf numFmtId="0" fontId="12" fillId="0" borderId="0"/>
  </cellStyleXfs>
  <cellXfs count="28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2" borderId="1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8" fillId="0" borderId="0" xfId="1" applyFont="1" applyAlignment="1">
      <alignment vertical="center"/>
    </xf>
    <xf numFmtId="0" fontId="3" fillId="0" borderId="0" xfId="1" applyFont="1"/>
    <xf numFmtId="0" fontId="3" fillId="0" borderId="0" xfId="1" applyFont="1" applyAlignment="1">
      <alignment horizontal="left" vertical="center"/>
    </xf>
    <xf numFmtId="0" fontId="2" fillId="3" borderId="0" xfId="1" applyFont="1" applyFill="1" applyAlignment="1">
      <alignment horizontal="center" vertical="center"/>
    </xf>
    <xf numFmtId="0" fontId="1" fillId="0" borderId="0" xfId="3" applyFont="1"/>
    <xf numFmtId="0" fontId="16" fillId="0" borderId="2" xfId="3" applyFont="1" applyBorder="1"/>
    <xf numFmtId="0" fontId="15" fillId="0" borderId="2" xfId="3" applyFont="1" applyBorder="1"/>
    <xf numFmtId="166" fontId="17" fillId="4" borderId="2" xfId="3" applyNumberFormat="1" applyFont="1" applyFill="1" applyBorder="1" applyAlignment="1">
      <alignment horizontal="right"/>
    </xf>
    <xf numFmtId="167" fontId="18" fillId="5" borderId="2" xfId="3" applyNumberFormat="1" applyFont="1" applyFill="1" applyBorder="1" applyAlignment="1">
      <alignment horizontal="right"/>
    </xf>
    <xf numFmtId="10" fontId="17" fillId="4" borderId="2" xfId="3" applyNumberFormat="1" applyFont="1" applyFill="1" applyBorder="1" applyAlignment="1">
      <alignment horizontal="right"/>
    </xf>
    <xf numFmtId="1" fontId="17" fillId="4" borderId="2" xfId="3" applyNumberFormat="1" applyFont="1" applyFill="1" applyBorder="1" applyAlignment="1">
      <alignment horizontal="right"/>
    </xf>
    <xf numFmtId="166" fontId="18" fillId="5" borderId="2" xfId="3" applyNumberFormat="1" applyFont="1" applyFill="1" applyBorder="1" applyAlignment="1">
      <alignment horizontal="right"/>
    </xf>
    <xf numFmtId="168" fontId="15" fillId="0" borderId="2" xfId="3" applyNumberFormat="1" applyFont="1" applyBorder="1" applyAlignment="1">
      <alignment horizontal="right"/>
    </xf>
    <xf numFmtId="0" fontId="19" fillId="8" borderId="2" xfId="3" applyFont="1" applyFill="1" applyBorder="1" applyAlignment="1">
      <alignment horizontal="center" vertical="center" wrapText="1"/>
    </xf>
    <xf numFmtId="0" fontId="14" fillId="7" borderId="2" xfId="3" applyFont="1" applyFill="1" applyBorder="1"/>
    <xf numFmtId="0" fontId="14" fillId="9" borderId="2" xfId="3" applyFont="1" applyFill="1" applyBorder="1"/>
    <xf numFmtId="0" fontId="3" fillId="3" borderId="0" xfId="1" applyFont="1" applyFill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5" fillId="0" borderId="3" xfId="3" applyFont="1" applyBorder="1" applyAlignment="1">
      <alignment wrapText="1"/>
    </xf>
    <xf numFmtId="0" fontId="13" fillId="6" borderId="2" xfId="3" applyFont="1" applyFill="1" applyBorder="1" applyAlignment="1">
      <alignment horizontal="center" vertical="center"/>
    </xf>
    <xf numFmtId="0" fontId="16" fillId="0" borderId="3" xfId="3" applyFont="1" applyBorder="1" applyAlignment="1">
      <alignment wrapText="1"/>
    </xf>
  </cellXfs>
  <cellStyles count="4">
    <cellStyle name="Normal" xfId="0" builtinId="0"/>
    <cellStyle name="Normal 2" xfId="1" xr:uid="{00000000-0005-0000-0000-000031000000}"/>
    <cellStyle name="Normal 3" xfId="3" xr:uid="{AD3A935F-0886-4673-AA1E-22A586E817FF}"/>
    <cellStyle name="Normal 7 2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29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selection activeCell="E36" sqref="E36"/>
    </sheetView>
  </sheetViews>
  <sheetFormatPr defaultColWidth="8.7265625" defaultRowHeight="14"/>
  <cols>
    <col min="1" max="1" width="8.7265625" style="1"/>
    <col min="2" max="2" width="15.08984375" style="1" customWidth="1"/>
    <col min="3" max="3" width="26" style="1" customWidth="1"/>
    <col min="4" max="4" width="12.26953125" style="1" customWidth="1"/>
    <col min="5" max="6" width="29.7265625" style="1" customWidth="1"/>
    <col min="7" max="8" width="7.7265625" style="1" hidden="1" customWidth="1"/>
    <col min="9" max="9" width="8.7265625" style="1"/>
    <col min="10" max="10" width="12.81640625" style="1" customWidth="1"/>
    <col min="11" max="16384" width="8.7265625" style="1"/>
  </cols>
  <sheetData>
    <row r="1" spans="1:8">
      <c r="D1" s="2"/>
    </row>
    <row r="2" spans="1:8" ht="15">
      <c r="C2" s="3" t="s">
        <v>0</v>
      </c>
    </row>
    <row r="3" spans="1:8">
      <c r="C3" s="4" t="s">
        <v>1</v>
      </c>
    </row>
    <row r="5" spans="1:8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7" spans="1:8">
      <c r="A7" s="23">
        <v>1</v>
      </c>
      <c r="B7" s="23" t="s">
        <v>10</v>
      </c>
      <c r="C7" s="23" t="s">
        <v>11</v>
      </c>
      <c r="D7" s="6">
        <v>1</v>
      </c>
      <c r="E7" s="6" t="s">
        <v>12</v>
      </c>
      <c r="F7" s="6" t="s">
        <v>13</v>
      </c>
      <c r="G7" s="6" t="s">
        <v>14</v>
      </c>
      <c r="H7" s="6" t="s">
        <v>15</v>
      </c>
    </row>
    <row r="8" spans="1:8">
      <c r="A8" s="23"/>
      <c r="B8" s="23"/>
      <c r="C8" s="23"/>
      <c r="D8" s="6">
        <v>2</v>
      </c>
      <c r="E8" s="6" t="s">
        <v>16</v>
      </c>
      <c r="F8" s="6" t="s">
        <v>17</v>
      </c>
      <c r="G8" s="6" t="s">
        <v>14</v>
      </c>
      <c r="H8" s="6" t="s">
        <v>15</v>
      </c>
    </row>
    <row r="10" spans="1:8">
      <c r="A10" s="23">
        <v>2</v>
      </c>
      <c r="B10" s="23" t="s">
        <v>18</v>
      </c>
      <c r="C10" s="23" t="s">
        <v>19</v>
      </c>
      <c r="D10" s="6">
        <v>1</v>
      </c>
      <c r="E10" s="6" t="s">
        <v>20</v>
      </c>
      <c r="F10" s="10" t="s">
        <v>47</v>
      </c>
      <c r="G10" s="6" t="s">
        <v>14</v>
      </c>
      <c r="H10" s="6" t="s">
        <v>15</v>
      </c>
    </row>
    <row r="11" spans="1:8">
      <c r="A11" s="23"/>
      <c r="B11" s="23"/>
      <c r="C11" s="23"/>
      <c r="D11" s="6">
        <v>2</v>
      </c>
      <c r="E11" s="6" t="s">
        <v>22</v>
      </c>
      <c r="F11" s="6" t="s">
        <v>23</v>
      </c>
      <c r="G11" s="6" t="s">
        <v>14</v>
      </c>
      <c r="H11" s="6" t="s">
        <v>15</v>
      </c>
    </row>
    <row r="13" spans="1:8">
      <c r="A13" s="6">
        <v>3</v>
      </c>
      <c r="B13" s="10" t="s">
        <v>24</v>
      </c>
      <c r="C13" s="6" t="s">
        <v>29</v>
      </c>
      <c r="D13" s="6">
        <v>1</v>
      </c>
      <c r="E13" s="6" t="s">
        <v>30</v>
      </c>
      <c r="F13" s="10" t="s">
        <v>44</v>
      </c>
      <c r="G13" s="6" t="s">
        <v>14</v>
      </c>
      <c r="H13" s="6" t="s">
        <v>15</v>
      </c>
    </row>
    <row r="15" spans="1:8">
      <c r="A15" s="6">
        <v>4</v>
      </c>
      <c r="B15" s="10" t="s">
        <v>28</v>
      </c>
      <c r="C15" s="6" t="s">
        <v>32</v>
      </c>
      <c r="D15" s="6">
        <v>1</v>
      </c>
      <c r="E15" s="6" t="s">
        <v>33</v>
      </c>
      <c r="F15" s="10" t="s">
        <v>34</v>
      </c>
      <c r="G15" s="6"/>
      <c r="H15" s="6"/>
    </row>
    <row r="17" spans="1:8">
      <c r="A17" s="6">
        <v>5</v>
      </c>
      <c r="B17" s="10" t="s">
        <v>31</v>
      </c>
      <c r="C17" s="6" t="s">
        <v>45</v>
      </c>
      <c r="D17" s="6">
        <v>1</v>
      </c>
      <c r="E17" s="6" t="s">
        <v>12</v>
      </c>
      <c r="F17" s="10" t="s">
        <v>13</v>
      </c>
      <c r="G17" s="6"/>
      <c r="H17" s="6"/>
    </row>
    <row r="19" spans="1:8">
      <c r="A19" s="6">
        <v>6</v>
      </c>
      <c r="B19" s="10" t="s">
        <v>46</v>
      </c>
      <c r="C19" s="6" t="s">
        <v>48</v>
      </c>
      <c r="D19" s="6">
        <v>1</v>
      </c>
      <c r="E19" s="6" t="s">
        <v>16</v>
      </c>
      <c r="F19" s="10" t="s">
        <v>47</v>
      </c>
      <c r="G19" s="6"/>
      <c r="H19" s="6"/>
    </row>
    <row r="21" spans="1:8">
      <c r="A21" s="6">
        <v>7</v>
      </c>
      <c r="B21" s="10" t="s">
        <v>49</v>
      </c>
      <c r="C21" s="6" t="s">
        <v>50</v>
      </c>
      <c r="D21" s="6">
        <v>1</v>
      </c>
      <c r="E21" s="6" t="s">
        <v>22</v>
      </c>
      <c r="F21" s="10" t="s">
        <v>23</v>
      </c>
      <c r="G21" s="6"/>
      <c r="H21" s="6"/>
    </row>
    <row r="23" spans="1:8">
      <c r="A23" s="6">
        <v>8</v>
      </c>
      <c r="B23" s="10" t="s">
        <v>51</v>
      </c>
      <c r="C23" s="6" t="s">
        <v>52</v>
      </c>
      <c r="D23" s="6">
        <v>1</v>
      </c>
      <c r="E23" s="6" t="s">
        <v>53</v>
      </c>
      <c r="F23" s="10" t="s">
        <v>54</v>
      </c>
      <c r="G23" s="6"/>
      <c r="H23" s="6"/>
    </row>
    <row r="25" spans="1:8">
      <c r="A25" s="6">
        <v>9</v>
      </c>
      <c r="B25" s="10" t="s">
        <v>55</v>
      </c>
      <c r="C25" s="6" t="s">
        <v>25</v>
      </c>
      <c r="D25" s="6">
        <v>1</v>
      </c>
      <c r="E25" s="6" t="s">
        <v>26</v>
      </c>
      <c r="F25" s="6" t="s">
        <v>27</v>
      </c>
    </row>
    <row r="27" spans="1:8">
      <c r="A27" s="6">
        <v>10</v>
      </c>
      <c r="B27" s="10" t="s">
        <v>56</v>
      </c>
      <c r="C27" s="6" t="s">
        <v>57</v>
      </c>
      <c r="D27" s="6">
        <v>1</v>
      </c>
      <c r="E27" s="6" t="s">
        <v>58</v>
      </c>
      <c r="F27" s="10" t="s">
        <v>59</v>
      </c>
      <c r="G27" s="6"/>
      <c r="H27" s="6"/>
    </row>
    <row r="31" spans="1:8">
      <c r="B31" s="24"/>
      <c r="C31" s="24"/>
      <c r="D31" s="24"/>
    </row>
    <row r="51" spans="2:10" ht="15.5">
      <c r="B51" s="7" t="s">
        <v>35</v>
      </c>
      <c r="E51" s="8"/>
      <c r="F51" s="6" t="s">
        <v>21</v>
      </c>
      <c r="J51" s="6" t="s">
        <v>21</v>
      </c>
    </row>
    <row r="52" spans="2:10" ht="15.5">
      <c r="B52" s="7" t="s">
        <v>36</v>
      </c>
      <c r="F52" s="6" t="s">
        <v>23</v>
      </c>
      <c r="J52" s="6" t="s">
        <v>23</v>
      </c>
    </row>
    <row r="53" spans="2:10" ht="15.5">
      <c r="B53" s="7" t="s">
        <v>37</v>
      </c>
      <c r="F53" s="6" t="s">
        <v>27</v>
      </c>
      <c r="J53" s="6" t="s">
        <v>38</v>
      </c>
    </row>
    <row r="54" spans="2:10" ht="15.5">
      <c r="B54" s="7" t="s">
        <v>39</v>
      </c>
      <c r="J54" s="6" t="s">
        <v>27</v>
      </c>
    </row>
    <row r="55" spans="2:10">
      <c r="B55" s="9" t="s">
        <v>40</v>
      </c>
    </row>
    <row r="57" spans="2:10" ht="15.65" customHeight="1"/>
    <row r="59" spans="2:10" hidden="1">
      <c r="B59" s="9" t="s">
        <v>41</v>
      </c>
      <c r="E59" s="1" t="s">
        <v>42</v>
      </c>
    </row>
    <row r="60" spans="2:10" hidden="1">
      <c r="E60" s="1" t="s">
        <v>43</v>
      </c>
    </row>
    <row r="61" spans="2:10" hidden="1"/>
    <row r="62" spans="2:10" hidden="1"/>
  </sheetData>
  <mergeCells count="7">
    <mergeCell ref="C7:C8"/>
    <mergeCell ref="B7:B8"/>
    <mergeCell ref="A7:A8"/>
    <mergeCell ref="A10:A11"/>
    <mergeCell ref="B31:D31"/>
    <mergeCell ref="B10:B11"/>
    <mergeCell ref="C10:C1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6FF4-03AB-43E3-B0D3-D432824ADDB8}">
  <dimension ref="B2:F33"/>
  <sheetViews>
    <sheetView topLeftCell="A13" zoomScaleNormal="100" workbookViewId="0">
      <selection activeCell="B9" sqref="B9"/>
    </sheetView>
  </sheetViews>
  <sheetFormatPr defaultColWidth="7.81640625" defaultRowHeight="14.5"/>
  <cols>
    <col min="1" max="1" width="2.7265625" style="11" customWidth="1"/>
    <col min="2" max="2" width="50.1796875" style="11" bestFit="1" customWidth="1"/>
    <col min="3" max="3" width="18" style="11" customWidth="1"/>
    <col min="4" max="4" width="19.90625" style="11" bestFit="1" customWidth="1"/>
    <col min="5" max="5" width="18" style="11" customWidth="1"/>
    <col min="6" max="6" width="19.81640625" style="11" customWidth="1"/>
    <col min="7" max="7" width="2.7265625" style="11" customWidth="1"/>
    <col min="8" max="16384" width="7.81640625" style="11"/>
  </cols>
  <sheetData>
    <row r="2" spans="2:6" ht="27.75" customHeight="1">
      <c r="B2" s="26" t="s">
        <v>60</v>
      </c>
      <c r="C2" s="26"/>
      <c r="D2" s="26"/>
      <c r="E2" s="26"/>
      <c r="F2" s="26"/>
    </row>
    <row r="4" spans="2:6" ht="15" customHeight="1">
      <c r="B4" s="21" t="s">
        <v>61</v>
      </c>
      <c r="C4" s="21"/>
      <c r="D4" s="21"/>
      <c r="E4" s="22"/>
      <c r="F4" s="22"/>
    </row>
    <row r="5" spans="2:6" ht="19.5" customHeight="1">
      <c r="B5" s="25" t="s">
        <v>62</v>
      </c>
      <c r="C5" s="25"/>
      <c r="D5" s="25"/>
      <c r="E5" s="25"/>
      <c r="F5" s="25"/>
    </row>
    <row r="7" spans="2:6" ht="15" customHeight="1">
      <c r="B7" s="12" t="s">
        <v>63</v>
      </c>
    </row>
    <row r="8" spans="2:6" ht="15" customHeight="1">
      <c r="B8" s="13" t="s">
        <v>64</v>
      </c>
      <c r="C8" s="14">
        <v>22.193999999999999</v>
      </c>
    </row>
    <row r="9" spans="2:6" ht="15" customHeight="1">
      <c r="B9" s="13" t="s">
        <v>65</v>
      </c>
      <c r="C9" s="14">
        <f>56*0.315</f>
        <v>17.64</v>
      </c>
    </row>
    <row r="10" spans="2:6" ht="15" customHeight="1">
      <c r="B10" s="12" t="s">
        <v>66</v>
      </c>
      <c r="C10" s="15">
        <f>((C8-C9)/C9)*100</f>
        <v>25.816326530612237</v>
      </c>
    </row>
    <row r="12" spans="2:6" ht="15" customHeight="1">
      <c r="B12" s="21" t="s">
        <v>67</v>
      </c>
      <c r="C12" s="21"/>
      <c r="D12" s="21"/>
      <c r="E12" s="22"/>
      <c r="F12" s="22"/>
    </row>
    <row r="13" spans="2:6" ht="15" customHeight="1">
      <c r="B13" s="12" t="s">
        <v>68</v>
      </c>
    </row>
    <row r="14" spans="2:6" ht="15" customHeight="1">
      <c r="B14" s="25" t="s">
        <v>69</v>
      </c>
      <c r="C14" s="25"/>
      <c r="D14" s="25"/>
      <c r="E14" s="25"/>
      <c r="F14" s="25"/>
    </row>
    <row r="16" spans="2:6" ht="15" customHeight="1">
      <c r="B16" s="27" t="s">
        <v>70</v>
      </c>
      <c r="C16" s="27"/>
      <c r="D16" s="27"/>
      <c r="E16" s="27"/>
      <c r="F16" s="27"/>
    </row>
    <row r="17" spans="2:6" ht="27.75" customHeight="1">
      <c r="B17" s="25" t="s">
        <v>80</v>
      </c>
      <c r="C17" s="25"/>
      <c r="D17" s="25"/>
      <c r="E17" s="25"/>
      <c r="F17" s="25"/>
    </row>
    <row r="19" spans="2:6" ht="15" customHeight="1">
      <c r="B19" s="21" t="s">
        <v>82</v>
      </c>
      <c r="C19" s="21"/>
      <c r="D19" s="21"/>
      <c r="E19" s="22"/>
      <c r="F19" s="22"/>
    </row>
    <row r="20" spans="2:6" ht="15" customHeight="1">
      <c r="B20" s="13" t="s">
        <v>71</v>
      </c>
      <c r="C20" s="14">
        <v>0.315</v>
      </c>
    </row>
    <row r="21" spans="2:6" ht="15" customHeight="1">
      <c r="B21" s="13" t="s">
        <v>72</v>
      </c>
      <c r="C21" s="16">
        <v>0.20519999999999999</v>
      </c>
    </row>
    <row r="22" spans="2:6" ht="15" customHeight="1">
      <c r="B22" s="13" t="s">
        <v>73</v>
      </c>
      <c r="C22" s="17">
        <v>56</v>
      </c>
    </row>
    <row r="23" spans="2:6" ht="15" customHeight="1">
      <c r="B23" s="12" t="s">
        <v>74</v>
      </c>
      <c r="C23" s="18">
        <f>C20*(1+C21)*C22</f>
        <v>21.259728000000003</v>
      </c>
    </row>
    <row r="25" spans="2:6" ht="15" customHeight="1">
      <c r="B25" s="21" t="s">
        <v>81</v>
      </c>
      <c r="C25" s="21"/>
      <c r="D25" s="21"/>
      <c r="E25" s="22"/>
      <c r="F25" s="22"/>
    </row>
    <row r="26" spans="2:6" ht="15" customHeight="1">
      <c r="B26" s="13" t="s">
        <v>75</v>
      </c>
      <c r="C26" s="14">
        <v>1.96</v>
      </c>
    </row>
    <row r="27" spans="2:6" ht="15" customHeight="1">
      <c r="B27" s="13" t="s">
        <v>73</v>
      </c>
      <c r="C27" s="17">
        <v>100</v>
      </c>
    </row>
    <row r="29" spans="2:6" ht="27.75" customHeight="1">
      <c r="B29" s="20" t="s">
        <v>6</v>
      </c>
      <c r="C29" s="20" t="s">
        <v>66</v>
      </c>
      <c r="D29" s="20" t="s">
        <v>76</v>
      </c>
    </row>
    <row r="30" spans="2:6" ht="15" customHeight="1">
      <c r="B30" s="13" t="s">
        <v>78</v>
      </c>
      <c r="C30" s="16">
        <v>2.07E-2</v>
      </c>
      <c r="D30" s="19">
        <f>1+C30</f>
        <v>1.0206999999999999</v>
      </c>
    </row>
    <row r="31" spans="2:6" ht="15" customHeight="1">
      <c r="B31" s="13" t="s">
        <v>77</v>
      </c>
      <c r="C31" s="16">
        <v>5.7700000000000001E-2</v>
      </c>
      <c r="D31" s="19">
        <f>1+C31</f>
        <v>1.0577000000000001</v>
      </c>
    </row>
    <row r="32" spans="2:6" ht="15" customHeight="1">
      <c r="B32" s="13" t="s">
        <v>79</v>
      </c>
      <c r="C32" s="19">
        <f>PRODUCT(D31:D31)</f>
        <v>1.0577000000000001</v>
      </c>
    </row>
    <row r="33" spans="2:3" ht="15" customHeight="1">
      <c r="B33" s="12" t="s">
        <v>74</v>
      </c>
      <c r="C33" s="18">
        <f>C26*C32*C27</f>
        <v>207.3092</v>
      </c>
    </row>
  </sheetData>
  <mergeCells count="5">
    <mergeCell ref="B17:F17"/>
    <mergeCell ref="B2:F2"/>
    <mergeCell ref="B5:F5"/>
    <mergeCell ref="B14:F14"/>
    <mergeCell ref="B16:F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QTSX</vt:lpstr>
      <vt:lpstr>Công thức hao hụt NVL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vuduy</dc:creator>
  <cp:lastModifiedBy>TuHuynh</cp:lastModifiedBy>
  <dcterms:created xsi:type="dcterms:W3CDTF">2026-05-06T00:47:00Z</dcterms:created>
  <dcterms:modified xsi:type="dcterms:W3CDTF">2026-09-10T01:41:05Z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D0605E0B109A468F97D758CB514EC807_13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